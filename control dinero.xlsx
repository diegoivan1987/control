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" i="1" l="1"/>
  <c r="G2" i="1" l="1"/>
  <c r="H2" i="1" l="1"/>
  <c r="L2" i="1" l="1"/>
  <c r="M6" i="1" l="1"/>
  <c r="L6" i="1"/>
</calcChain>
</file>

<file path=xl/sharedStrings.xml><?xml version="1.0" encoding="utf-8"?>
<sst xmlns="http://schemas.openxmlformats.org/spreadsheetml/2006/main" count="292" uniqueCount="89">
  <si>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</si>
  <si>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</si>
  <si>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</si>
  <si>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</si>
  <si>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</si>
  <si>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</si>
  <si>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</si>
  <si>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</si>
  <si>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</si>
  <si>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</si>
  <si>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</si>
  <si>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</si>
  <si>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</si>
  <si>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</si>
  <si>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</si>
  <si>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</si>
  <si>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</si>
  <si>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</si>
  <si>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</si>
  <si>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</si>
  <si>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</si>
  <si>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</si>
  <si>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</si>
  <si>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</si>
  <si>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</si>
  <si>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</si>
  <si>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</si>
  <si>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</si>
  <si>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</si>
  <si>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</si>
  <si>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</si>
  <si>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</si>
  <si>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</si>
  <si>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</si>
  <si>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</si>
  <si>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</si>
  <si>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</si>
  <si>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</si>
  <si>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</si>
  <si>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</si>
  <si>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</si>
  <si>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</si>
  <si>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</si>
  <si>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</si>
  <si>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</si>
  <si>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</si>
  <si>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</si>
  <si>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</si>
  <si>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</si>
  <si>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</si>
  <si>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</si>
  <si>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</si>
  <si>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</si>
  <si>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</si>
  <si>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</si>
  <si>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</si>
  <si>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</si>
  <si>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</si>
  <si>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</si>
  <si>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</si>
  <si>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</si>
  <si>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</si>
  <si>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leo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</si>
  <si>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</si>
  <si>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</si>
  <si>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</si>
  <si>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</si>
  <si>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</si>
  <si>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</si>
  <si>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</si>
  <si>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</si>
  <si>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</si>
  <si>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</si>
  <si>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</si>
  <si>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</si>
  <si>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</si>
  <si>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</si>
  <si>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</si>
  <si>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</si>
  <si>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</si>
  <si>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</si>
  <si>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</si>
  <si>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</si>
  <si>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invertidos el 16 de mayo</t>
  </si>
  <si>
    <t>18 a 24 mayo</t>
  </si>
  <si>
    <t>banco</t>
  </si>
  <si>
    <t>farmacia</t>
  </si>
  <si>
    <t xml:space="preserve">leo </t>
  </si>
  <si>
    <t>tienda desayuno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</si>
</sst>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14" fontId="0" fillId="0" borderId="1" xfId="0" applyNumberFormat="1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" fontId="0" fillId="0" borderId="1" xfId="0" applyNumberFormat="1" applyFont="1" applyFill="1" applyBorder="1"/>
    <xf numFmtId="0" fontId="0" fillId="0" borderId="0" xfId="0" applyAlignment="1">
      <alignment horizontal="center"/>
    </xf>
    <xf numFmtId="1" fontId="0" fillId="0" borderId="1" xfId="0" applyNumberFormat="1" applyFont="1" applyBorder="1"/>
    <xf numFmtId="1" fontId="0" fillId="0" borderId="5" xfId="0" applyNumberFormat="1" applyFont="1" applyBorder="1"/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3">
    <sortCondition ref="B1:B63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5">
    <sortCondition ref="K1:K15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zoomScale="85" zoomScaleNormal="85" workbookViewId="0">
      <selection activeCell="I8" sqref="I8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5"/>
      <c r="U1" s="35"/>
      <c r="V1" s="35"/>
      <c r="W1" s="35"/>
      <c r="X1" s="35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40000</v>
      </c>
      <c r="H2">
        <f>SUMIFS(Tabla5[cantidad],Tabla5[persona],"pa",Tabla5[pago?],"no")</f>
        <v>8362.5</v>
      </c>
      <c r="I2">
        <v>1055</v>
      </c>
      <c r="J2" t="s">
        <v>9</v>
      </c>
      <c r="K2" t="s">
        <v>7</v>
      </c>
      <c r="L2">
        <f>SUMIFS(Tabla62[cantidad],Tabla62[donde],"tarjeta")</f>
        <v>1462</v>
      </c>
      <c r="M2">
        <f>SUMIFS(Tabla62[cantidad],Tabla62[donde],"fisico")</f>
        <v>3120</v>
      </c>
      <c r="O2" s="5"/>
      <c r="P2" s="5"/>
      <c r="Q2" s="5"/>
      <c r="R2" s="5"/>
      <c r="S2" s="5"/>
      <c r="T2" s="35"/>
      <c r="U2" s="35"/>
      <c r="V2" s="35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 s="1">
        <v>0</v>
      </c>
      <c r="J3" s="1" t="s">
        <v>16</v>
      </c>
      <c r="K3" s="1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>
        <v>0</v>
      </c>
      <c r="J4" t="s">
        <v>23</v>
      </c>
      <c r="K4" t="s">
        <v>7</v>
      </c>
      <c r="L4">
        <v>1462</v>
      </c>
      <c r="M4">
        <v>3120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J5" s="1" t="s">
        <v>33</v>
      </c>
      <c r="K5" s="1" t="s">
        <v>7</v>
      </c>
      <c r="L5" s="35" t="s">
        <v>35</v>
      </c>
      <c r="M5" s="35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>
        <v>0</v>
      </c>
      <c r="J6" s="1" t="s">
        <v>24</v>
      </c>
      <c r="K6" s="1" t="s">
        <v>7</v>
      </c>
      <c r="L6">
        <f>SUM(L4,-L2)</f>
        <v>0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 s="1">
        <v>462</v>
      </c>
      <c r="J7" s="1" t="s">
        <v>25</v>
      </c>
      <c r="K7" s="1" t="s">
        <v>7</v>
      </c>
    </row>
    <row r="8" spans="1:24" x14ac:dyDescent="0.25">
      <c r="A8" s="27"/>
      <c r="B8" s="21" t="s">
        <v>62</v>
      </c>
      <c r="C8" s="21">
        <v>100</v>
      </c>
      <c r="D8" s="21" t="s">
        <v>63</v>
      </c>
      <c r="E8" s="21" t="s">
        <v>9</v>
      </c>
      <c r="F8" s="21" t="s">
        <v>14</v>
      </c>
      <c r="G8" s="1"/>
      <c r="H8" s="6"/>
      <c r="I8">
        <v>103</v>
      </c>
      <c r="J8" t="s">
        <v>22</v>
      </c>
      <c r="K8" t="s">
        <v>7</v>
      </c>
    </row>
    <row r="9" spans="1:24" x14ac:dyDescent="0.25">
      <c r="B9" t="s">
        <v>62</v>
      </c>
      <c r="C9">
        <v>90</v>
      </c>
      <c r="D9" t="s">
        <v>52</v>
      </c>
      <c r="E9" t="s">
        <v>9</v>
      </c>
      <c r="F9" t="s">
        <v>14</v>
      </c>
      <c r="G9" s="1"/>
      <c r="H9" s="1"/>
      <c r="I9" s="1">
        <v>901</v>
      </c>
      <c r="J9" s="1" t="s">
        <v>9</v>
      </c>
      <c r="K9" s="1" t="s">
        <v>4</v>
      </c>
    </row>
    <row r="10" spans="1:24" x14ac:dyDescent="0.25">
      <c r="A10" s="21"/>
      <c r="B10" s="21" t="s">
        <v>60</v>
      </c>
      <c r="C10" s="21">
        <v>20000</v>
      </c>
      <c r="D10" s="8" t="s">
        <v>67</v>
      </c>
      <c r="E10" s="21" t="s">
        <v>80</v>
      </c>
      <c r="F10" s="21" t="s">
        <v>14</v>
      </c>
      <c r="G10" s="1"/>
      <c r="H10" s="1"/>
      <c r="I10" s="1">
        <v>0</v>
      </c>
      <c r="J10" s="1" t="s">
        <v>23</v>
      </c>
      <c r="K10" s="1" t="s">
        <v>4</v>
      </c>
    </row>
    <row r="11" spans="1:24" x14ac:dyDescent="0.25">
      <c r="A11" s="23"/>
      <c r="B11" s="2" t="s">
        <v>60</v>
      </c>
      <c r="C11" s="2">
        <v>20000</v>
      </c>
      <c r="D11" s="2" t="s">
        <v>67</v>
      </c>
      <c r="E11" s="2" t="s">
        <v>81</v>
      </c>
      <c r="F11" s="2" t="s">
        <v>14</v>
      </c>
      <c r="G11" s="1"/>
      <c r="H11" s="1"/>
      <c r="I11" s="1">
        <v>258</v>
      </c>
      <c r="J11" s="1" t="s">
        <v>24</v>
      </c>
      <c r="K11" s="1" t="s">
        <v>4</v>
      </c>
    </row>
    <row r="12" spans="1:24" x14ac:dyDescent="0.25">
      <c r="A12" s="2"/>
      <c r="B12" s="21" t="s">
        <v>25</v>
      </c>
      <c r="C12" s="21">
        <v>72</v>
      </c>
      <c r="D12" s="8" t="s">
        <v>82</v>
      </c>
      <c r="E12" s="21" t="s">
        <v>9</v>
      </c>
      <c r="F12" s="21" t="s">
        <v>14</v>
      </c>
      <c r="G12" s="1"/>
      <c r="H12" s="1"/>
      <c r="I12" s="1"/>
      <c r="J12" s="1" t="s">
        <v>25</v>
      </c>
      <c r="K12" s="1" t="s">
        <v>4</v>
      </c>
    </row>
    <row r="13" spans="1:24" x14ac:dyDescent="0.25">
      <c r="A13" s="2"/>
      <c r="B13" s="2" t="s">
        <v>25</v>
      </c>
      <c r="C13" s="2">
        <v>619</v>
      </c>
      <c r="D13" s="2" t="s">
        <v>82</v>
      </c>
      <c r="E13" s="2" t="s">
        <v>9</v>
      </c>
      <c r="F13" s="2" t="s">
        <v>14</v>
      </c>
      <c r="G13" s="1"/>
      <c r="H13" s="1"/>
      <c r="I13">
        <v>303</v>
      </c>
      <c r="J13" t="s">
        <v>13</v>
      </c>
      <c r="K13" t="s">
        <v>4</v>
      </c>
      <c r="M13" s="4"/>
      <c r="N13" s="4"/>
    </row>
    <row r="14" spans="1:24" x14ac:dyDescent="0.25">
      <c r="A14" s="16"/>
      <c r="B14" s="8" t="s">
        <v>22</v>
      </c>
      <c r="C14" s="8">
        <v>4</v>
      </c>
      <c r="D14" s="8" t="s">
        <v>43</v>
      </c>
      <c r="E14" s="8" t="s">
        <v>44</v>
      </c>
      <c r="F14" s="8" t="s">
        <v>14</v>
      </c>
      <c r="G14" s="1"/>
      <c r="H14" s="1"/>
      <c r="I14">
        <v>1310</v>
      </c>
      <c r="J14" s="1" t="s">
        <v>68</v>
      </c>
      <c r="K14" s="1" t="s">
        <v>83</v>
      </c>
    </row>
    <row r="15" spans="1:24" x14ac:dyDescent="0.25">
      <c r="A15" s="2"/>
      <c r="B15" s="2" t="s">
        <v>22</v>
      </c>
      <c r="C15" s="2">
        <v>40</v>
      </c>
      <c r="D15" s="2" t="s">
        <v>45</v>
      </c>
      <c r="E15" s="2" t="s">
        <v>46</v>
      </c>
      <c r="F15" s="2" t="s">
        <v>14</v>
      </c>
      <c r="G15" s="11"/>
      <c r="H15" s="1"/>
      <c r="I15">
        <v>1000</v>
      </c>
      <c r="J15" t="s">
        <v>86</v>
      </c>
      <c r="K15" t="s">
        <v>7</v>
      </c>
    </row>
    <row r="16" spans="1:24" x14ac:dyDescent="0.25">
      <c r="A16" s="23"/>
      <c r="B16" s="8" t="s">
        <v>29</v>
      </c>
      <c r="C16" s="8">
        <v>35</v>
      </c>
      <c r="D16" s="8" t="s">
        <v>56</v>
      </c>
      <c r="E16" s="8" t="s">
        <v>23</v>
      </c>
      <c r="F16" s="8" t="s">
        <v>14</v>
      </c>
      <c r="G16" s="11"/>
      <c r="H16" s="1"/>
      <c r="I16" s="10">
        <v>500</v>
      </c>
      <c r="J16" s="1" t="s">
        <v>85</v>
      </c>
      <c r="K16" s="1" t="s">
        <v>7</v>
      </c>
    </row>
    <row r="17" spans="1:11" x14ac:dyDescent="0.25">
      <c r="A17" s="2"/>
      <c r="B17" s="2" t="s">
        <v>29</v>
      </c>
      <c r="C17" s="2">
        <v>35</v>
      </c>
      <c r="D17" s="2" t="s">
        <v>38</v>
      </c>
      <c r="E17" s="2" t="s">
        <v>22</v>
      </c>
      <c r="F17" s="2" t="s">
        <v>14</v>
      </c>
      <c r="G17" s="11"/>
      <c r="H17" s="1"/>
      <c r="I17" s="10"/>
      <c r="J17" s="1"/>
      <c r="K17" s="1"/>
    </row>
    <row r="18" spans="1:11" x14ac:dyDescent="0.25">
      <c r="A18" s="26"/>
      <c r="B18" s="8" t="s">
        <v>29</v>
      </c>
      <c r="C18" s="8">
        <v>35</v>
      </c>
      <c r="D18" s="8" t="s">
        <v>38</v>
      </c>
      <c r="E18" s="8" t="s">
        <v>9</v>
      </c>
      <c r="F18" s="8" t="s">
        <v>14</v>
      </c>
      <c r="G18" s="11"/>
      <c r="H18" s="1"/>
      <c r="I18" s="7" t="s">
        <v>69</v>
      </c>
      <c r="K18" s="1"/>
    </row>
    <row r="19" spans="1:11" x14ac:dyDescent="0.25">
      <c r="A19" s="2"/>
      <c r="B19" s="21" t="s">
        <v>29</v>
      </c>
      <c r="C19" s="21">
        <v>35</v>
      </c>
      <c r="D19" s="8" t="s">
        <v>38</v>
      </c>
      <c r="E19" s="21" t="s">
        <v>9</v>
      </c>
      <c r="F19" s="21" t="s">
        <v>14</v>
      </c>
      <c r="G19" s="11"/>
      <c r="H19" s="18"/>
      <c r="K19" s="1"/>
    </row>
    <row r="20" spans="1:11" x14ac:dyDescent="0.25">
      <c r="A20" s="2"/>
      <c r="B20" s="21" t="s">
        <v>29</v>
      </c>
      <c r="C20" s="21">
        <v>35</v>
      </c>
      <c r="D20" s="21" t="s">
        <v>63</v>
      </c>
      <c r="E20" s="21" t="s">
        <v>9</v>
      </c>
      <c r="F20" s="21" t="s">
        <v>14</v>
      </c>
      <c r="G20" s="11"/>
      <c r="I20" s="1"/>
      <c r="K20" s="1"/>
    </row>
    <row r="21" spans="1:11" x14ac:dyDescent="0.25">
      <c r="A21" s="33"/>
      <c r="B21" s="29" t="s">
        <v>29</v>
      </c>
      <c r="C21" s="29">
        <v>150</v>
      </c>
      <c r="D21" s="29" t="s">
        <v>42</v>
      </c>
      <c r="E21" s="29" t="s">
        <v>22</v>
      </c>
      <c r="F21" s="30" t="s">
        <v>14</v>
      </c>
      <c r="G21" s="11"/>
      <c r="K21" s="1"/>
    </row>
    <row r="22" spans="1:11" x14ac:dyDescent="0.25">
      <c r="A22" s="28"/>
      <c r="B22" s="29" t="s">
        <v>29</v>
      </c>
      <c r="C22" s="29">
        <v>84</v>
      </c>
      <c r="D22" s="29" t="s">
        <v>32</v>
      </c>
      <c r="E22" s="29" t="s">
        <v>22</v>
      </c>
      <c r="F22" s="30" t="s">
        <v>14</v>
      </c>
      <c r="G22" s="11"/>
      <c r="H22" s="1"/>
      <c r="I22" s="13"/>
      <c r="J22" s="6"/>
      <c r="K22" s="1"/>
    </row>
    <row r="23" spans="1:11" x14ac:dyDescent="0.25">
      <c r="A23" s="33"/>
      <c r="B23" s="29" t="s">
        <v>29</v>
      </c>
      <c r="C23" s="29">
        <v>3100</v>
      </c>
      <c r="D23" s="29" t="s">
        <v>67</v>
      </c>
      <c r="E23" s="29" t="s">
        <v>9</v>
      </c>
      <c r="F23" s="30" t="s">
        <v>14</v>
      </c>
      <c r="G23" s="11"/>
      <c r="H23" s="1"/>
      <c r="I23" s="13"/>
      <c r="J23" s="6"/>
      <c r="K23" s="1"/>
    </row>
    <row r="24" spans="1:11" x14ac:dyDescent="0.25">
      <c r="A24" s="34"/>
      <c r="B24" s="24" t="s">
        <v>29</v>
      </c>
      <c r="C24" s="24">
        <v>16</v>
      </c>
      <c r="D24" s="24" t="s">
        <v>66</v>
      </c>
      <c r="E24" s="24" t="s">
        <v>9</v>
      </c>
      <c r="F24" s="25" t="s">
        <v>14</v>
      </c>
      <c r="G24" s="11"/>
      <c r="H24" s="1"/>
      <c r="I24" s="4"/>
      <c r="J24" s="1"/>
      <c r="K24" s="1"/>
    </row>
    <row r="25" spans="1:11" x14ac:dyDescent="0.25">
      <c r="A25" s="33"/>
      <c r="B25" s="29" t="s">
        <v>29</v>
      </c>
      <c r="C25" s="29">
        <v>11</v>
      </c>
      <c r="D25" s="29" t="s">
        <v>66</v>
      </c>
      <c r="E25" s="29" t="s">
        <v>16</v>
      </c>
      <c r="F25" s="30" t="s">
        <v>14</v>
      </c>
      <c r="G25" s="15"/>
      <c r="H25" s="1"/>
      <c r="I25" s="14"/>
    </row>
    <row r="26" spans="1:11" x14ac:dyDescent="0.25">
      <c r="A26" s="28" t="s">
        <v>28</v>
      </c>
      <c r="B26" s="29" t="s">
        <v>29</v>
      </c>
      <c r="C26" s="29">
        <v>250</v>
      </c>
      <c r="D26" s="29" t="s">
        <v>26</v>
      </c>
      <c r="E26" s="29" t="s">
        <v>27</v>
      </c>
      <c r="F26" s="30" t="s">
        <v>14</v>
      </c>
      <c r="G26" s="15"/>
      <c r="H26" s="11"/>
      <c r="I26" s="11"/>
    </row>
    <row r="27" spans="1:11" x14ac:dyDescent="0.25">
      <c r="A27" s="20" t="s">
        <v>30</v>
      </c>
      <c r="B27" s="18" t="s">
        <v>29</v>
      </c>
      <c r="C27" s="18">
        <v>250</v>
      </c>
      <c r="D27" s="18" t="s">
        <v>26</v>
      </c>
      <c r="E27" s="18" t="s">
        <v>27</v>
      </c>
      <c r="F27" s="19" t="s">
        <v>14</v>
      </c>
      <c r="H27" s="11"/>
      <c r="I27" s="4"/>
    </row>
    <row r="28" spans="1:11" x14ac:dyDescent="0.25">
      <c r="A28" s="20" t="s">
        <v>34</v>
      </c>
      <c r="B28" s="18" t="s">
        <v>29</v>
      </c>
      <c r="C28" s="18">
        <v>250</v>
      </c>
      <c r="D28" s="18" t="s">
        <v>26</v>
      </c>
      <c r="E28" s="18" t="s">
        <v>27</v>
      </c>
      <c r="F28" s="19" t="s">
        <v>14</v>
      </c>
    </row>
    <row r="29" spans="1:11" x14ac:dyDescent="0.25">
      <c r="A29" s="20" t="s">
        <v>37</v>
      </c>
      <c r="B29" s="18" t="s">
        <v>29</v>
      </c>
      <c r="C29" s="18">
        <v>250</v>
      </c>
      <c r="D29" s="18" t="s">
        <v>26</v>
      </c>
      <c r="E29" s="18" t="s">
        <v>27</v>
      </c>
      <c r="F29" s="19" t="s">
        <v>14</v>
      </c>
    </row>
    <row r="30" spans="1:11" x14ac:dyDescent="0.25">
      <c r="A30" s="36" t="s">
        <v>39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7" t="s">
        <v>47</v>
      </c>
      <c r="B31" s="31" t="s">
        <v>29</v>
      </c>
      <c r="C31" s="31">
        <v>250</v>
      </c>
      <c r="D31" s="31" t="s">
        <v>26</v>
      </c>
      <c r="E31" s="31" t="s">
        <v>27</v>
      </c>
      <c r="F31" s="32" t="s">
        <v>14</v>
      </c>
    </row>
    <row r="32" spans="1:11" x14ac:dyDescent="0.25">
      <c r="A32" s="22" t="s">
        <v>48</v>
      </c>
      <c r="B32" s="31" t="s">
        <v>29</v>
      </c>
      <c r="C32" s="31">
        <v>250</v>
      </c>
      <c r="D32" s="31" t="s">
        <v>26</v>
      </c>
      <c r="E32" s="31" t="s">
        <v>27</v>
      </c>
      <c r="F32" s="32" t="s">
        <v>14</v>
      </c>
    </row>
    <row r="33" spans="1:6" x14ac:dyDescent="0.25">
      <c r="A33" s="22" t="s">
        <v>51</v>
      </c>
      <c r="B33" s="31" t="s">
        <v>29</v>
      </c>
      <c r="C33" s="31">
        <v>250</v>
      </c>
      <c r="D33" s="31" t="s">
        <v>26</v>
      </c>
      <c r="E33" s="31" t="s">
        <v>27</v>
      </c>
      <c r="F33" s="32" t="s">
        <v>14</v>
      </c>
    </row>
    <row r="34" spans="1:6" x14ac:dyDescent="0.25">
      <c r="A34" s="27" t="s">
        <v>55</v>
      </c>
      <c r="B34" s="21" t="s">
        <v>29</v>
      </c>
      <c r="C34" s="21">
        <v>250</v>
      </c>
      <c r="D34" s="21" t="s">
        <v>26</v>
      </c>
      <c r="E34" s="21" t="s">
        <v>27</v>
      </c>
      <c r="F34" s="21" t="s">
        <v>14</v>
      </c>
    </row>
    <row r="35" spans="1:6" x14ac:dyDescent="0.25">
      <c r="A35" s="21" t="s">
        <v>57</v>
      </c>
      <c r="B35" s="21" t="s">
        <v>29</v>
      </c>
      <c r="C35" s="21">
        <v>250</v>
      </c>
      <c r="D35" s="21" t="s">
        <v>26</v>
      </c>
      <c r="E35" s="21" t="s">
        <v>27</v>
      </c>
      <c r="F35" s="21" t="s">
        <v>14</v>
      </c>
    </row>
    <row r="36" spans="1:6" x14ac:dyDescent="0.25">
      <c r="A36" s="16" t="s">
        <v>59</v>
      </c>
      <c r="B36" s="8" t="s">
        <v>29</v>
      </c>
      <c r="C36" s="8">
        <v>250</v>
      </c>
      <c r="D36" s="8" t="s">
        <v>26</v>
      </c>
      <c r="E36" s="8" t="s">
        <v>58</v>
      </c>
      <c r="F36" s="8" t="s">
        <v>14</v>
      </c>
    </row>
    <row r="37" spans="1:6" x14ac:dyDescent="0.25">
      <c r="A37" s="16" t="s">
        <v>61</v>
      </c>
      <c r="B37" s="8" t="s">
        <v>29</v>
      </c>
      <c r="C37" s="8">
        <v>250</v>
      </c>
      <c r="D37" s="8" t="s">
        <v>26</v>
      </c>
      <c r="E37" s="8" t="s">
        <v>58</v>
      </c>
      <c r="F37" s="8" t="s">
        <v>14</v>
      </c>
    </row>
    <row r="38" spans="1:6" x14ac:dyDescent="0.25">
      <c r="A38" s="26" t="s">
        <v>65</v>
      </c>
      <c r="B38" s="8" t="s">
        <v>29</v>
      </c>
      <c r="C38" s="8">
        <v>250</v>
      </c>
      <c r="D38" s="8" t="s">
        <v>26</v>
      </c>
      <c r="E38" s="8" t="s">
        <v>58</v>
      </c>
      <c r="F38" s="8" t="s">
        <v>14</v>
      </c>
    </row>
    <row r="39" spans="1:6" x14ac:dyDescent="0.25">
      <c r="A39" t="s">
        <v>71</v>
      </c>
      <c r="B39" t="s">
        <v>29</v>
      </c>
      <c r="C39">
        <v>250</v>
      </c>
      <c r="D39" t="s">
        <v>26</v>
      </c>
      <c r="E39" t="s">
        <v>58</v>
      </c>
      <c r="F39" t="s">
        <v>14</v>
      </c>
    </row>
    <row r="40" spans="1:6" x14ac:dyDescent="0.25">
      <c r="A40" t="s">
        <v>72</v>
      </c>
      <c r="B40" t="s">
        <v>29</v>
      </c>
      <c r="C40">
        <v>250</v>
      </c>
      <c r="D40" t="s">
        <v>26</v>
      </c>
      <c r="E40" t="s">
        <v>58</v>
      </c>
      <c r="F40" t="s">
        <v>14</v>
      </c>
    </row>
    <row r="41" spans="1:6" x14ac:dyDescent="0.25">
      <c r="A41" t="s">
        <v>73</v>
      </c>
      <c r="B41" t="s">
        <v>29</v>
      </c>
      <c r="C41">
        <v>250</v>
      </c>
      <c r="D41" t="s">
        <v>26</v>
      </c>
      <c r="E41" t="s">
        <v>58</v>
      </c>
      <c r="F41" t="s">
        <v>14</v>
      </c>
    </row>
    <row r="42" spans="1:6" x14ac:dyDescent="0.25">
      <c r="A42" t="s">
        <v>74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75</v>
      </c>
      <c r="B43" t="s">
        <v>29</v>
      </c>
      <c r="C43">
        <v>0</v>
      </c>
      <c r="D43" t="s">
        <v>26</v>
      </c>
      <c r="E43" t="s">
        <v>58</v>
      </c>
      <c r="F43" t="s">
        <v>14</v>
      </c>
    </row>
    <row r="44" spans="1:6" x14ac:dyDescent="0.25">
      <c r="A44" t="s">
        <v>76</v>
      </c>
      <c r="B44" t="s">
        <v>29</v>
      </c>
      <c r="C44">
        <v>77</v>
      </c>
      <c r="D44" t="s">
        <v>26</v>
      </c>
      <c r="E44" t="s">
        <v>25</v>
      </c>
      <c r="F44" t="s">
        <v>14</v>
      </c>
    </row>
    <row r="45" spans="1:6" x14ac:dyDescent="0.25">
      <c r="A45" t="s">
        <v>77</v>
      </c>
      <c r="B45" t="s">
        <v>29</v>
      </c>
      <c r="C45">
        <v>77</v>
      </c>
      <c r="D45" t="s">
        <v>26</v>
      </c>
      <c r="E45" t="s">
        <v>25</v>
      </c>
      <c r="F45" t="s">
        <v>14</v>
      </c>
    </row>
    <row r="46" spans="1:6" x14ac:dyDescent="0.25">
      <c r="A46" t="s">
        <v>78</v>
      </c>
      <c r="B46" t="s">
        <v>29</v>
      </c>
      <c r="C46">
        <v>77</v>
      </c>
      <c r="D46" t="s">
        <v>26</v>
      </c>
      <c r="E46" t="s">
        <v>25</v>
      </c>
      <c r="F46" t="s">
        <v>14</v>
      </c>
    </row>
    <row r="47" spans="1:6" x14ac:dyDescent="0.25">
      <c r="A47" s="23" t="s">
        <v>79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s="23" t="s">
        <v>84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s="23" t="s">
        <v>31</v>
      </c>
      <c r="B49" s="2" t="s">
        <v>29</v>
      </c>
      <c r="C49" s="2">
        <v>77.5</v>
      </c>
      <c r="D49" s="2" t="s">
        <v>36</v>
      </c>
      <c r="E49" s="2" t="s">
        <v>25</v>
      </c>
      <c r="F49" s="2" t="s">
        <v>14</v>
      </c>
    </row>
    <row r="50" spans="1:6" x14ac:dyDescent="0.25">
      <c r="A50" s="16"/>
      <c r="B50" s="8" t="s">
        <v>29</v>
      </c>
      <c r="C50" s="8">
        <v>21</v>
      </c>
      <c r="D50" s="8" t="s">
        <v>52</v>
      </c>
      <c r="E50" s="8" t="s">
        <v>9</v>
      </c>
      <c r="F50" s="8" t="s">
        <v>14</v>
      </c>
    </row>
    <row r="51" spans="1:6" x14ac:dyDescent="0.25">
      <c r="B51" t="s">
        <v>29</v>
      </c>
      <c r="C51">
        <v>66</v>
      </c>
      <c r="D51" t="s">
        <v>52</v>
      </c>
      <c r="E51" t="s">
        <v>23</v>
      </c>
      <c r="F51" t="s">
        <v>14</v>
      </c>
    </row>
    <row r="52" spans="1:6" x14ac:dyDescent="0.25">
      <c r="B52" t="s">
        <v>29</v>
      </c>
      <c r="C52">
        <v>27</v>
      </c>
      <c r="D52" t="s">
        <v>52</v>
      </c>
      <c r="E52" t="s">
        <v>9</v>
      </c>
      <c r="F52" t="s">
        <v>14</v>
      </c>
    </row>
    <row r="53" spans="1:6" x14ac:dyDescent="0.25">
      <c r="A53" s="2"/>
      <c r="B53" s="2" t="s">
        <v>64</v>
      </c>
      <c r="C53" s="2">
        <v>15</v>
      </c>
      <c r="D53" s="2" t="s">
        <v>54</v>
      </c>
      <c r="E53" s="2" t="s">
        <v>53</v>
      </c>
      <c r="F53" s="2" t="s">
        <v>14</v>
      </c>
    </row>
    <row r="54" spans="1:6" x14ac:dyDescent="0.25">
      <c r="A54" s="2"/>
      <c r="B54" s="2" t="s">
        <v>64</v>
      </c>
      <c r="C54" s="2">
        <v>6</v>
      </c>
      <c r="D54" s="2" t="s">
        <v>70</v>
      </c>
      <c r="E54" s="2" t="s">
        <v>9</v>
      </c>
      <c r="F54" s="2" t="s">
        <v>14</v>
      </c>
    </row>
    <row r="55" spans="1:6" x14ac:dyDescent="0.25">
      <c r="B55" t="s">
        <v>87</v>
      </c>
      <c r="C55">
        <v>47</v>
      </c>
      <c r="D55" t="s">
        <v>88</v>
      </c>
      <c r="E55" t="s">
        <v>22</v>
      </c>
      <c r="F55" t="s">
        <v>14</v>
      </c>
    </row>
    <row r="56" spans="1:6" x14ac:dyDescent="0.25">
      <c r="A56" s="2"/>
      <c r="B56" s="2"/>
      <c r="C56" s="2"/>
      <c r="D56" s="2"/>
      <c r="E56" s="2"/>
      <c r="F56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B61" s="2"/>
      <c r="C61" s="2"/>
      <c r="D61" s="2"/>
      <c r="E61" s="2"/>
      <c r="F61" s="2"/>
    </row>
    <row r="62" spans="1:6" x14ac:dyDescent="0.25">
      <c r="A62" s="23"/>
      <c r="B62" s="2"/>
      <c r="C62" s="2"/>
      <c r="D62" s="2"/>
      <c r="E62" s="2"/>
      <c r="F62" s="2"/>
    </row>
    <row r="63" spans="1:6" x14ac:dyDescent="0.25">
      <c r="A63" s="23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2020-05-25T23:32:43Z</dcterms:modified>
</cp:coreProperties>
</file>