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control\"/>
    </mc:Choice>
  </mc:AlternateContent>
  <bookViews>
    <workbookView xWindow="-120" yWindow="-120" windowWidth="15600" windowHeight="11160"/>
  </bookViews>
  <sheets>
    <sheet name="Hoja1" sheetId="1" r:id="rId1"/>
    <sheet name="Hoja2" sheetId="2" r:id="rId2"/>
    <sheet name="Hoja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" i="1" l="1"/>
  <c r="G2" i="1" l="1"/>
  <c r="H2" i="1" l="1"/>
  <c r="L2" i="1" l="1"/>
  <c r="M6" i="1" l="1"/>
  <c r="L6" i="1"/>
</calcChain>
</file>

<file path=xl/sharedStrings.xml><?xml version="1.0" encoding="utf-8"?>
<sst xmlns="http://schemas.openxmlformats.org/spreadsheetml/2006/main" count="293" uniqueCount="88">
  <si>
    <t>cantidad</t>
  </si>
  <si>
    <t>fecha</t>
  </si>
  <si>
    <t>concepto</t>
  </si>
  <si>
    <t>a que</t>
  </si>
  <si>
    <t>tarjeta</t>
  </si>
  <si>
    <t>persona</t>
  </si>
  <si>
    <t>pago?</t>
  </si>
  <si>
    <t>fisico</t>
  </si>
  <si>
    <t>donde</t>
  </si>
  <si>
    <t>ahorro</t>
  </si>
  <si>
    <t>total tarjeta</t>
  </si>
  <si>
    <t>total fisico</t>
  </si>
  <si>
    <t xml:space="preserve"> </t>
  </si>
  <si>
    <t>miranda</t>
  </si>
  <si>
    <t>no</t>
  </si>
  <si>
    <t>fisico real</t>
  </si>
  <si>
    <t>camion</t>
  </si>
  <si>
    <t>tarjeta real</t>
  </si>
  <si>
    <t>debo</t>
  </si>
  <si>
    <t>lucas</t>
  </si>
  <si>
    <t>TM</t>
  </si>
  <si>
    <t>TP</t>
  </si>
  <si>
    <t>mio</t>
  </si>
  <si>
    <t>gastos</t>
  </si>
  <si>
    <t>ma, no tocar</t>
  </si>
  <si>
    <t>megacable</t>
  </si>
  <si>
    <t>semana</t>
  </si>
  <si>
    <t>reparto</t>
  </si>
  <si>
    <t>9 a 15 de diciembre</t>
  </si>
  <si>
    <t>pa</t>
  </si>
  <si>
    <t>16 a 22 de diciembre</t>
  </si>
  <si>
    <t>23 a 29 de diciembre</t>
  </si>
  <si>
    <t>desayuno</t>
  </si>
  <si>
    <t xml:space="preserve">ma </t>
  </si>
  <si>
    <t xml:space="preserve">30 diciembre a 5 de enero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</si>
  <si>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</si>
  <si>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solo megacable semana</t>
  </si>
  <si>
    <t>6 a 12 de enero</t>
  </si>
  <si>
    <t>corte</t>
  </si>
  <si>
    <t>13 a 19 enero</t>
  </si>
  <si>
    <t>orden pago</t>
  </si>
  <si>
    <t xml:space="preserve">gastos </t>
  </si>
  <si>
    <t>dentista</t>
  </si>
  <si>
    <t>comida</t>
  </si>
  <si>
    <t>messi</t>
  </si>
  <si>
    <t>gasolina</t>
  </si>
  <si>
    <t>axel</t>
  </si>
  <si>
    <t>20 a 26 de enero</t>
  </si>
  <si>
    <t>27 enero a 2 febrero</t>
  </si>
  <si>
    <t>cuaderno</t>
  </si>
  <si>
    <t>gimnasio</t>
  </si>
  <si>
    <t>3 a 9 de febrero</t>
  </si>
  <si>
    <t>tienda</t>
  </si>
  <si>
    <t>yisus</t>
  </si>
  <si>
    <t>boleto</t>
  </si>
  <si>
    <t>10 a 16 de febrero</t>
  </si>
  <si>
    <t>cabello</t>
  </si>
  <si>
    <t>17 a 23 de febrero</t>
  </si>
  <si>
    <t>reparto 2</t>
  </si>
  <si>
    <t>24 febrero 1 marzo</t>
  </si>
  <si>
    <t>ma</t>
  </si>
  <si>
    <t>2 a 8 de marzo</t>
  </si>
  <si>
    <t>leo</t>
  </si>
  <si>
    <t>corte cabello</t>
  </si>
  <si>
    <t>yo</t>
  </si>
  <si>
    <t>9 a 15 de marzo</t>
  </si>
  <si>
    <t>refrescos</t>
  </si>
  <si>
    <t>prestamo</t>
  </si>
  <si>
    <t>cetes</t>
  </si>
  <si>
    <t>ma pago semana 16 22 marzo</t>
  </si>
  <si>
    <t>prestamo a pa</t>
  </si>
  <si>
    <t xml:space="preserve">16 a 22 de marzo </t>
  </si>
  <si>
    <t>23 a 29 de marzo</t>
  </si>
  <si>
    <t>30 marzo a 5 de abril</t>
  </si>
  <si>
    <t>6 a 12 de abril</t>
  </si>
  <si>
    <t>13 a 19 de abril</t>
  </si>
  <si>
    <t>20 a 26 de abril</t>
  </si>
  <si>
    <t>27 de abril a 3 de mayo</t>
  </si>
  <si>
    <t>4 a 10 de mayo</t>
  </si>
  <si>
    <t>11 a 17 de mayo</t>
  </si>
  <si>
    <t>16000 ma no tocar, 4000 ahorro</t>
  </si>
  <si>
    <t>12000 ma no tocar, 8000 ahorro</t>
  </si>
  <si>
    <t>pago</t>
  </si>
  <si>
    <t>invertidos el 16 de mayo</t>
  </si>
  <si>
    <t>18 a 24 mayo</t>
  </si>
  <si>
    <t xml:space="preserve">leo </t>
  </si>
  <si>
    <t>tienda desayuno</t>
  </si>
  <si>
    <t>25 a 31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</si>
</sst>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/>
    <xf numFmtId="0" fontId="0" fillId="0" borderId="0" xfId="0" applyBorder="1"/>
    <xf numFmtId="14" fontId="0" fillId="0" borderId="0" xfId="0" applyNumberFormat="1"/>
    <xf numFmtId="0" fontId="0" fillId="0" borderId="0" xfId="0" applyFont="1"/>
    <xf numFmtId="0" fontId="0" fillId="0" borderId="0" xfId="0" applyAlignment="1">
      <alignment horizontal="center"/>
    </xf>
    <xf numFmtId="0" fontId="1" fillId="0" borderId="0" xfId="0" applyFont="1" applyFill="1" applyAlignment="1"/>
    <xf numFmtId="1" fontId="0" fillId="0" borderId="0" xfId="0" applyNumberFormat="1"/>
    <xf numFmtId="0" fontId="0" fillId="0" borderId="0" xfId="0" applyFont="1" applyFill="1" applyBorder="1"/>
    <xf numFmtId="0" fontId="0" fillId="0" borderId="0" xfId="0" applyFill="1"/>
    <xf numFmtId="1" fontId="0" fillId="0" borderId="0" xfId="0" applyNumberFormat="1" applyAlignment="1"/>
    <xf numFmtId="0" fontId="0" fillId="0" borderId="0" xfId="0" applyFont="1" applyFill="1" applyAlignment="1"/>
    <xf numFmtId="0" fontId="1" fillId="0" borderId="0" xfId="0" applyFont="1" applyFill="1"/>
    <xf numFmtId="1" fontId="0" fillId="0" borderId="0" xfId="0" applyNumberFormat="1" applyFont="1"/>
    <xf numFmtId="0" fontId="0" fillId="0" borderId="0" xfId="0" applyFont="1" applyAlignment="1"/>
    <xf numFmtId="0" fontId="0" fillId="0" borderId="0" xfId="0" applyFont="1" applyFill="1"/>
    <xf numFmtId="1" fontId="0" fillId="0" borderId="0" xfId="0" applyNumberFormat="1" applyFont="1" applyFill="1" applyBorder="1"/>
    <xf numFmtId="0" fontId="1" fillId="0" borderId="0" xfId="0" applyFont="1" applyFill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0" xfId="0" applyFont="1" applyBorder="1"/>
    <xf numFmtId="14" fontId="0" fillId="0" borderId="0" xfId="0" applyNumberFormat="1" applyFont="1" applyBorder="1"/>
    <xf numFmtId="14" fontId="0" fillId="0" borderId="0" xfId="0" applyNumberFormat="1" applyBorder="1"/>
    <xf numFmtId="0" fontId="0" fillId="0" borderId="2" xfId="0" applyFont="1" applyFill="1" applyBorder="1"/>
    <xf numFmtId="0" fontId="0" fillId="0" borderId="3" xfId="0" applyFont="1" applyFill="1" applyBorder="1"/>
    <xf numFmtId="14" fontId="0" fillId="0" borderId="0" xfId="0" applyNumberFormat="1" applyFont="1" applyFill="1" applyBorder="1"/>
    <xf numFmtId="22" fontId="0" fillId="0" borderId="0" xfId="0" applyNumberFormat="1" applyFont="1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Font="1" applyBorder="1"/>
    <xf numFmtId="0" fontId="0" fillId="0" borderId="6" xfId="0" applyFont="1" applyBorder="1"/>
    <xf numFmtId="0" fontId="0" fillId="0" borderId="1" xfId="0" applyBorder="1"/>
    <xf numFmtId="1" fontId="0" fillId="0" borderId="1" xfId="0" applyNumberFormat="1" applyFont="1" applyFill="1" applyBorder="1"/>
    <xf numFmtId="0" fontId="0" fillId="0" borderId="0" xfId="0" applyAlignment="1">
      <alignment horizontal="center"/>
    </xf>
    <xf numFmtId="1" fontId="0" fillId="0" borderId="0" xfId="0" applyNumberFormat="1" applyFont="1" applyBorder="1"/>
    <xf numFmtId="14" fontId="0" fillId="0" borderId="1" xfId="0" applyNumberFormat="1" applyFont="1" applyFill="1" applyBorder="1"/>
    <xf numFmtId="0" fontId="0" fillId="0" borderId="4" xfId="0" applyBorder="1"/>
    <xf numFmtId="0" fontId="0" fillId="0" borderId="6" xfId="0" applyBorder="1"/>
    <xf numFmtId="14" fontId="0" fillId="0" borderId="5" xfId="0" applyNumberFormat="1" applyBorder="1"/>
  </cellXfs>
  <cellStyles count="1">
    <cellStyle name="Normal" xfId="0" builtinId="0"/>
  </cellStyles>
  <dxfs count="1"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5" name="Tabla5" displayName="Tabla5" ref="A1:F63" totalsRowShown="0">
  <autoFilter ref="A1:F63"/>
  <sortState ref="A2:F63">
    <sortCondition ref="B1:B63"/>
  </sortState>
  <tableColumns count="6">
    <tableColumn id="1" name="fecha"/>
    <tableColumn id="2" name="persona"/>
    <tableColumn id="3" name="cantidad"/>
    <tableColumn id="4" name="concepto"/>
    <tableColumn id="5" name="a que"/>
    <tableColumn id="9" name="pago?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1" name="Tabla62" displayName="Tabla62" ref="I1:K16" totalsRowShown="0" headerRowDxfId="0">
  <autoFilter ref="I1:K16"/>
  <sortState ref="I2:K16">
    <sortCondition ref="K1:K16"/>
  </sortState>
  <tableColumns count="3">
    <tableColumn id="1" name="cantidad"/>
    <tableColumn id="2" name="concepto"/>
    <tableColumn id="3" name="dond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3"/>
  <sheetViews>
    <sheetView tabSelected="1" zoomScale="85" zoomScaleNormal="85" workbookViewId="0">
      <selection activeCell="M4" sqref="M4"/>
    </sheetView>
  </sheetViews>
  <sheetFormatPr baseColWidth="10" defaultRowHeight="15" x14ac:dyDescent="0.25"/>
  <cols>
    <col min="1" max="1" width="15.7109375" bestFit="1" customWidth="1"/>
    <col min="4" max="4" width="16.42578125" customWidth="1"/>
    <col min="5" max="5" width="9.42578125" customWidth="1"/>
    <col min="6" max="6" width="8.7109375" customWidth="1"/>
    <col min="7" max="7" width="11.85546875" bestFit="1" customWidth="1"/>
    <col min="9" max="9" width="12.28515625" bestFit="1" customWidth="1"/>
    <col min="10" max="10" width="13.5703125" customWidth="1"/>
    <col min="12" max="12" width="11.85546875" bestFit="1" customWidth="1"/>
    <col min="15" max="19" width="12" customWidth="1"/>
  </cols>
  <sheetData>
    <row r="1" spans="1:24" x14ac:dyDescent="0.25">
      <c r="A1" s="2" t="s">
        <v>1</v>
      </c>
      <c r="B1" s="2" t="s">
        <v>5</v>
      </c>
      <c r="C1" s="2" t="s">
        <v>0</v>
      </c>
      <c r="D1" s="2" t="s">
        <v>2</v>
      </c>
      <c r="E1" s="2" t="s">
        <v>3</v>
      </c>
      <c r="F1" t="s">
        <v>6</v>
      </c>
      <c r="G1" t="s">
        <v>20</v>
      </c>
      <c r="H1" t="s">
        <v>21</v>
      </c>
      <c r="I1" s="1" t="s">
        <v>0</v>
      </c>
      <c r="J1" s="1" t="s">
        <v>2</v>
      </c>
      <c r="K1" s="1" t="s">
        <v>8</v>
      </c>
      <c r="L1" t="s">
        <v>10</v>
      </c>
      <c r="M1" t="s">
        <v>11</v>
      </c>
      <c r="N1" s="1"/>
      <c r="O1" s="5"/>
      <c r="P1" s="5"/>
      <c r="Q1" s="5"/>
      <c r="R1" s="5"/>
      <c r="S1" s="5"/>
      <c r="T1" s="34"/>
      <c r="U1" s="34"/>
      <c r="V1" s="34"/>
      <c r="W1" s="34"/>
      <c r="X1" s="34"/>
    </row>
    <row r="2" spans="1:24" x14ac:dyDescent="0.25">
      <c r="A2" s="16"/>
      <c r="B2" t="s">
        <v>23</v>
      </c>
      <c r="C2">
        <v>10</v>
      </c>
      <c r="D2" t="s">
        <v>49</v>
      </c>
      <c r="E2" t="s">
        <v>29</v>
      </c>
      <c r="F2" t="s">
        <v>14</v>
      </c>
      <c r="G2">
        <f>SUMIFS(Tabla5[cantidad],Tabla5[persona],"ma",Tabla5[pago?],"no")</f>
        <v>40000</v>
      </c>
      <c r="H2">
        <f>SUMIFS(Tabla5[cantidad],Tabla5[persona],"pa",Tabla5[pago?],"no")</f>
        <v>8439.5</v>
      </c>
      <c r="I2">
        <v>1155</v>
      </c>
      <c r="J2" t="s">
        <v>9</v>
      </c>
      <c r="K2" t="s">
        <v>7</v>
      </c>
      <c r="L2">
        <f>SUMIFS(Tabla62[cantidad],Tabla62[donde],"tarjeta")</f>
        <v>1287</v>
      </c>
      <c r="M2">
        <f>SUMIFS(Tabla62[cantidad],Tabla62[donde],"fisico")</f>
        <v>2797</v>
      </c>
      <c r="O2" s="5"/>
      <c r="P2" s="5"/>
      <c r="Q2" s="5"/>
      <c r="R2" s="5"/>
      <c r="S2" s="5"/>
      <c r="T2" s="34"/>
      <c r="U2" s="34"/>
      <c r="V2" s="34"/>
      <c r="W2" s="1"/>
      <c r="X2" s="1"/>
    </row>
    <row r="3" spans="1:24" x14ac:dyDescent="0.25">
      <c r="A3" s="3"/>
      <c r="B3" t="s">
        <v>23</v>
      </c>
      <c r="C3">
        <v>600</v>
      </c>
      <c r="D3" t="s">
        <v>42</v>
      </c>
      <c r="E3" t="s">
        <v>9</v>
      </c>
      <c r="F3" t="s">
        <v>14</v>
      </c>
      <c r="I3" s="1">
        <v>0</v>
      </c>
      <c r="J3" s="1" t="s">
        <v>16</v>
      </c>
      <c r="K3" s="1" t="s">
        <v>7</v>
      </c>
      <c r="L3" t="s">
        <v>17</v>
      </c>
      <c r="M3" t="s">
        <v>15</v>
      </c>
      <c r="O3" s="5"/>
      <c r="P3" s="5"/>
      <c r="Q3" s="5"/>
      <c r="R3" s="1"/>
      <c r="S3" s="1"/>
      <c r="T3" s="1"/>
      <c r="U3" s="1"/>
      <c r="V3" s="1"/>
    </row>
    <row r="4" spans="1:24" x14ac:dyDescent="0.25">
      <c r="A4" s="3"/>
      <c r="B4" t="s">
        <v>23</v>
      </c>
      <c r="C4">
        <v>330</v>
      </c>
      <c r="D4" t="s">
        <v>50</v>
      </c>
      <c r="E4" t="s">
        <v>22</v>
      </c>
      <c r="F4" t="s">
        <v>14</v>
      </c>
      <c r="I4">
        <v>1000</v>
      </c>
      <c r="J4" t="s">
        <v>23</v>
      </c>
      <c r="K4" t="s">
        <v>7</v>
      </c>
      <c r="L4">
        <v>1462</v>
      </c>
      <c r="M4">
        <v>2796</v>
      </c>
      <c r="O4" s="1"/>
      <c r="P4" s="1"/>
      <c r="Q4" s="1"/>
    </row>
    <row r="5" spans="1:24" x14ac:dyDescent="0.25">
      <c r="B5" t="s">
        <v>23</v>
      </c>
      <c r="C5">
        <v>330</v>
      </c>
      <c r="D5" t="s">
        <v>50</v>
      </c>
      <c r="E5" t="s">
        <v>9</v>
      </c>
      <c r="F5" t="s">
        <v>14</v>
      </c>
      <c r="J5" s="1" t="s">
        <v>33</v>
      </c>
      <c r="K5" s="1" t="s">
        <v>7</v>
      </c>
      <c r="L5" s="34" t="s">
        <v>35</v>
      </c>
      <c r="M5" s="34"/>
    </row>
    <row r="6" spans="1:24" x14ac:dyDescent="0.25">
      <c r="A6" s="3"/>
      <c r="B6" t="s">
        <v>23</v>
      </c>
      <c r="C6">
        <v>453</v>
      </c>
      <c r="D6" t="s">
        <v>40</v>
      </c>
      <c r="E6" t="s">
        <v>24</v>
      </c>
      <c r="F6" t="s">
        <v>14</v>
      </c>
      <c r="I6">
        <v>0</v>
      </c>
      <c r="J6" s="1" t="s">
        <v>24</v>
      </c>
      <c r="K6" s="1" t="s">
        <v>7</v>
      </c>
      <c r="L6">
        <f>SUM(L4,-L2)</f>
        <v>175</v>
      </c>
      <c r="M6">
        <f>SUM(M4,-M2)</f>
        <v>-1</v>
      </c>
    </row>
    <row r="7" spans="1:24" x14ac:dyDescent="0.25">
      <c r="A7" s="3"/>
      <c r="B7" t="s">
        <v>41</v>
      </c>
      <c r="C7">
        <v>125</v>
      </c>
      <c r="D7" t="s">
        <v>42</v>
      </c>
      <c r="E7" t="s">
        <v>9</v>
      </c>
      <c r="F7" t="s">
        <v>14</v>
      </c>
      <c r="G7" s="1"/>
      <c r="H7" s="1" t="s">
        <v>12</v>
      </c>
      <c r="I7" s="1">
        <v>539</v>
      </c>
      <c r="J7" s="1" t="s">
        <v>25</v>
      </c>
      <c r="K7" s="1" t="s">
        <v>7</v>
      </c>
    </row>
    <row r="8" spans="1:24" x14ac:dyDescent="0.25">
      <c r="A8" s="26"/>
      <c r="B8" s="20" t="s">
        <v>62</v>
      </c>
      <c r="C8" s="20">
        <v>100</v>
      </c>
      <c r="D8" s="20" t="s">
        <v>63</v>
      </c>
      <c r="E8" s="20" t="s">
        <v>9</v>
      </c>
      <c r="F8" s="20" t="s">
        <v>14</v>
      </c>
      <c r="G8" s="1"/>
      <c r="H8" s="6"/>
      <c r="I8">
        <v>103</v>
      </c>
      <c r="J8" t="s">
        <v>22</v>
      </c>
      <c r="K8" t="s">
        <v>7</v>
      </c>
    </row>
    <row r="9" spans="1:24" x14ac:dyDescent="0.25">
      <c r="B9" t="s">
        <v>62</v>
      </c>
      <c r="C9">
        <v>90</v>
      </c>
      <c r="D9" t="s">
        <v>52</v>
      </c>
      <c r="E9" t="s">
        <v>9</v>
      </c>
      <c r="F9" t="s">
        <v>14</v>
      </c>
      <c r="G9" s="1"/>
      <c r="H9" s="1"/>
      <c r="I9">
        <v>1310</v>
      </c>
      <c r="J9" s="1" t="s">
        <v>68</v>
      </c>
      <c r="K9" s="1" t="s">
        <v>83</v>
      </c>
    </row>
    <row r="10" spans="1:24" x14ac:dyDescent="0.25">
      <c r="B10" t="s">
        <v>85</v>
      </c>
      <c r="C10">
        <v>47</v>
      </c>
      <c r="D10" t="s">
        <v>86</v>
      </c>
      <c r="E10" t="s">
        <v>22</v>
      </c>
      <c r="F10" t="s">
        <v>14</v>
      </c>
      <c r="G10" s="1"/>
      <c r="H10" s="1"/>
      <c r="I10" s="1">
        <v>726</v>
      </c>
      <c r="J10" s="1" t="s">
        <v>9</v>
      </c>
      <c r="K10" s="1" t="s">
        <v>4</v>
      </c>
    </row>
    <row r="11" spans="1:24" x14ac:dyDescent="0.25">
      <c r="A11" s="20"/>
      <c r="B11" s="20" t="s">
        <v>60</v>
      </c>
      <c r="C11" s="20">
        <v>20000</v>
      </c>
      <c r="D11" s="8" t="s">
        <v>67</v>
      </c>
      <c r="E11" s="20" t="s">
        <v>80</v>
      </c>
      <c r="F11" s="20" t="s">
        <v>14</v>
      </c>
      <c r="G11" s="1"/>
      <c r="H11" s="1"/>
      <c r="I11" s="1">
        <v>0</v>
      </c>
      <c r="J11" s="1" t="s">
        <v>23</v>
      </c>
      <c r="K11" s="1" t="s">
        <v>4</v>
      </c>
    </row>
    <row r="12" spans="1:24" x14ac:dyDescent="0.25">
      <c r="A12" s="22"/>
      <c r="B12" s="2" t="s">
        <v>60</v>
      </c>
      <c r="C12" s="2">
        <v>20000</v>
      </c>
      <c r="D12" s="2" t="s">
        <v>67</v>
      </c>
      <c r="E12" s="2" t="s">
        <v>81</v>
      </c>
      <c r="F12" s="2" t="s">
        <v>14</v>
      </c>
      <c r="G12" s="1"/>
      <c r="H12" s="1"/>
      <c r="I12" s="1">
        <v>258</v>
      </c>
      <c r="J12" s="1" t="s">
        <v>24</v>
      </c>
      <c r="K12" s="1" t="s">
        <v>4</v>
      </c>
    </row>
    <row r="13" spans="1:24" x14ac:dyDescent="0.25">
      <c r="A13" s="2"/>
      <c r="B13" s="2"/>
      <c r="C13" s="2"/>
      <c r="D13" s="2"/>
      <c r="E13" s="2"/>
      <c r="F13" s="2"/>
      <c r="G13" s="1"/>
      <c r="H13" s="1"/>
      <c r="I13" s="1"/>
      <c r="J13" s="1" t="s">
        <v>25</v>
      </c>
      <c r="K13" s="1" t="s">
        <v>4</v>
      </c>
      <c r="M13" s="4"/>
      <c r="N13" s="4"/>
    </row>
    <row r="14" spans="1:24" x14ac:dyDescent="0.25">
      <c r="A14" s="2"/>
      <c r="B14" s="2"/>
      <c r="C14" s="2"/>
      <c r="D14" s="2"/>
      <c r="E14" s="2"/>
      <c r="F14" s="2"/>
      <c r="G14" s="1"/>
      <c r="H14" s="1"/>
      <c r="I14">
        <v>303</v>
      </c>
      <c r="J14" t="s">
        <v>13</v>
      </c>
      <c r="K14" t="s">
        <v>4</v>
      </c>
    </row>
    <row r="15" spans="1:24" x14ac:dyDescent="0.25">
      <c r="A15" s="2"/>
      <c r="B15" s="2"/>
      <c r="C15" s="2"/>
      <c r="D15" s="2"/>
      <c r="E15" s="2"/>
      <c r="F15" s="2"/>
      <c r="G15" s="11"/>
      <c r="H15" s="1"/>
    </row>
    <row r="16" spans="1:24" x14ac:dyDescent="0.25">
      <c r="B16" s="2"/>
      <c r="C16" s="2"/>
      <c r="D16" s="2"/>
      <c r="E16" s="2"/>
      <c r="F16" s="2"/>
      <c r="G16" s="11"/>
      <c r="H16" s="1"/>
      <c r="I16" s="10"/>
      <c r="J16" s="1"/>
      <c r="K16" s="1"/>
    </row>
    <row r="17" spans="1:11" x14ac:dyDescent="0.25">
      <c r="A17" s="2"/>
      <c r="B17" s="20" t="s">
        <v>25</v>
      </c>
      <c r="C17" s="20">
        <v>72</v>
      </c>
      <c r="D17" s="8" t="s">
        <v>82</v>
      </c>
      <c r="E17" s="20" t="s">
        <v>9</v>
      </c>
      <c r="F17" s="20" t="s">
        <v>14</v>
      </c>
      <c r="G17" s="11"/>
      <c r="H17" s="1"/>
      <c r="I17" s="10"/>
      <c r="J17" s="1"/>
      <c r="K17" s="1"/>
    </row>
    <row r="18" spans="1:11" x14ac:dyDescent="0.25">
      <c r="A18" s="2"/>
      <c r="B18" s="2" t="s">
        <v>25</v>
      </c>
      <c r="C18" s="2">
        <v>619</v>
      </c>
      <c r="D18" s="2" t="s">
        <v>82</v>
      </c>
      <c r="E18" s="2" t="s">
        <v>9</v>
      </c>
      <c r="F18" s="2" t="s">
        <v>14</v>
      </c>
      <c r="G18" s="11"/>
      <c r="H18" s="1"/>
      <c r="I18" s="7" t="s">
        <v>69</v>
      </c>
      <c r="K18" s="1"/>
    </row>
    <row r="19" spans="1:11" x14ac:dyDescent="0.25">
      <c r="A19" s="16"/>
      <c r="B19" s="8" t="s">
        <v>22</v>
      </c>
      <c r="C19" s="8">
        <v>4</v>
      </c>
      <c r="D19" s="8" t="s">
        <v>43</v>
      </c>
      <c r="E19" s="8" t="s">
        <v>44</v>
      </c>
      <c r="F19" s="8" t="s">
        <v>14</v>
      </c>
      <c r="G19" s="11"/>
      <c r="H19" s="18"/>
      <c r="K19" s="1"/>
    </row>
    <row r="20" spans="1:11" x14ac:dyDescent="0.25">
      <c r="A20" s="2"/>
      <c r="B20" s="2" t="s">
        <v>22</v>
      </c>
      <c r="C20" s="2">
        <v>40</v>
      </c>
      <c r="D20" s="2" t="s">
        <v>45</v>
      </c>
      <c r="E20" s="2" t="s">
        <v>46</v>
      </c>
      <c r="F20" s="2" t="s">
        <v>14</v>
      </c>
      <c r="G20" s="11"/>
      <c r="I20" s="1"/>
      <c r="K20" s="1"/>
    </row>
    <row r="21" spans="1:11" x14ac:dyDescent="0.25">
      <c r="A21" s="27"/>
      <c r="B21" s="23" t="s">
        <v>29</v>
      </c>
      <c r="C21" s="23">
        <v>35</v>
      </c>
      <c r="D21" s="23" t="s">
        <v>56</v>
      </c>
      <c r="E21" s="23" t="s">
        <v>23</v>
      </c>
      <c r="F21" s="24" t="s">
        <v>14</v>
      </c>
      <c r="G21" s="11"/>
      <c r="K21" s="1"/>
    </row>
    <row r="22" spans="1:11" x14ac:dyDescent="0.25">
      <c r="A22" s="32"/>
      <c r="B22" s="28" t="s">
        <v>29</v>
      </c>
      <c r="C22" s="28">
        <v>35</v>
      </c>
      <c r="D22" s="28" t="s">
        <v>38</v>
      </c>
      <c r="E22" s="28" t="s">
        <v>22</v>
      </c>
      <c r="F22" s="29" t="s">
        <v>14</v>
      </c>
      <c r="G22" s="11"/>
      <c r="H22" s="1"/>
      <c r="I22" s="13"/>
      <c r="J22" s="6"/>
      <c r="K22" s="1"/>
    </row>
    <row r="23" spans="1:11" x14ac:dyDescent="0.25">
      <c r="A23" s="36"/>
      <c r="B23" s="23" t="s">
        <v>29</v>
      </c>
      <c r="C23" s="23">
        <v>35</v>
      </c>
      <c r="D23" s="23" t="s">
        <v>38</v>
      </c>
      <c r="E23" s="23" t="s">
        <v>9</v>
      </c>
      <c r="F23" s="24" t="s">
        <v>14</v>
      </c>
      <c r="G23" s="11"/>
      <c r="H23" s="1"/>
      <c r="I23" s="13"/>
      <c r="J23" s="6"/>
      <c r="K23" s="1"/>
    </row>
    <row r="24" spans="1:11" x14ac:dyDescent="0.25">
      <c r="A24" s="32"/>
      <c r="B24" s="18" t="s">
        <v>29</v>
      </c>
      <c r="C24" s="18">
        <v>35</v>
      </c>
      <c r="D24" s="23" t="s">
        <v>38</v>
      </c>
      <c r="E24" s="18" t="s">
        <v>9</v>
      </c>
      <c r="F24" s="19" t="s">
        <v>14</v>
      </c>
      <c r="G24" s="11"/>
      <c r="H24" s="1"/>
      <c r="I24" s="4"/>
      <c r="J24" s="1"/>
      <c r="K24" s="1"/>
    </row>
    <row r="25" spans="1:11" x14ac:dyDescent="0.25">
      <c r="A25" s="32"/>
      <c r="B25" s="18" t="s">
        <v>29</v>
      </c>
      <c r="C25" s="18">
        <v>35</v>
      </c>
      <c r="D25" s="18" t="s">
        <v>63</v>
      </c>
      <c r="E25" s="18" t="s">
        <v>9</v>
      </c>
      <c r="F25" s="19" t="s">
        <v>14</v>
      </c>
      <c r="G25" s="15"/>
      <c r="H25" s="1"/>
      <c r="I25" s="14"/>
    </row>
    <row r="26" spans="1:11" x14ac:dyDescent="0.25">
      <c r="A26" s="32"/>
      <c r="B26" s="28" t="s">
        <v>29</v>
      </c>
      <c r="C26" s="28">
        <v>150</v>
      </c>
      <c r="D26" s="28" t="s">
        <v>42</v>
      </c>
      <c r="E26" s="28" t="s">
        <v>22</v>
      </c>
      <c r="F26" s="29" t="s">
        <v>14</v>
      </c>
      <c r="G26" s="15"/>
      <c r="H26" s="11"/>
      <c r="I26" s="11"/>
    </row>
    <row r="27" spans="1:11" x14ac:dyDescent="0.25">
      <c r="A27" s="27"/>
      <c r="B27" s="28" t="s">
        <v>29</v>
      </c>
      <c r="C27" s="28">
        <v>84</v>
      </c>
      <c r="D27" s="28" t="s">
        <v>32</v>
      </c>
      <c r="E27" s="28" t="s">
        <v>22</v>
      </c>
      <c r="F27" s="29" t="s">
        <v>14</v>
      </c>
      <c r="H27" s="11"/>
      <c r="I27" s="4"/>
    </row>
    <row r="28" spans="1:11" x14ac:dyDescent="0.25">
      <c r="A28" s="32"/>
      <c r="B28" s="28" t="s">
        <v>29</v>
      </c>
      <c r="C28" s="28">
        <v>3100</v>
      </c>
      <c r="D28" s="28" t="s">
        <v>67</v>
      </c>
      <c r="E28" s="28" t="s">
        <v>9</v>
      </c>
      <c r="F28" s="29" t="s">
        <v>14</v>
      </c>
    </row>
    <row r="29" spans="1:11" x14ac:dyDescent="0.25">
      <c r="A29" s="33"/>
      <c r="B29" s="23" t="s">
        <v>29</v>
      </c>
      <c r="C29" s="23">
        <v>16</v>
      </c>
      <c r="D29" s="23" t="s">
        <v>66</v>
      </c>
      <c r="E29" s="23" t="s">
        <v>9</v>
      </c>
      <c r="F29" s="24" t="s">
        <v>14</v>
      </c>
    </row>
    <row r="30" spans="1:11" x14ac:dyDescent="0.25">
      <c r="A30" s="32"/>
      <c r="B30" s="28" t="s">
        <v>29</v>
      </c>
      <c r="C30" s="28">
        <v>11</v>
      </c>
      <c r="D30" s="28" t="s">
        <v>66</v>
      </c>
      <c r="E30" s="28" t="s">
        <v>16</v>
      </c>
      <c r="F30" s="29" t="s">
        <v>14</v>
      </c>
    </row>
    <row r="31" spans="1:11" x14ac:dyDescent="0.25">
      <c r="A31" s="39" t="s">
        <v>28</v>
      </c>
      <c r="B31" s="37" t="s">
        <v>29</v>
      </c>
      <c r="C31" s="37">
        <v>250</v>
      </c>
      <c r="D31" s="37" t="s">
        <v>26</v>
      </c>
      <c r="E31" s="37" t="s">
        <v>27</v>
      </c>
      <c r="F31" s="38" t="s">
        <v>14</v>
      </c>
    </row>
    <row r="32" spans="1:11" x14ac:dyDescent="0.25">
      <c r="A32" s="21" t="s">
        <v>30</v>
      </c>
      <c r="B32" s="30" t="s">
        <v>29</v>
      </c>
      <c r="C32" s="30">
        <v>250</v>
      </c>
      <c r="D32" s="30" t="s">
        <v>26</v>
      </c>
      <c r="E32" s="30" t="s">
        <v>27</v>
      </c>
      <c r="F32" s="31" t="s">
        <v>14</v>
      </c>
    </row>
    <row r="33" spans="1:6" x14ac:dyDescent="0.25">
      <c r="A33" s="21" t="s">
        <v>34</v>
      </c>
      <c r="B33" s="30" t="s">
        <v>29</v>
      </c>
      <c r="C33" s="30">
        <v>250</v>
      </c>
      <c r="D33" s="30" t="s">
        <v>26</v>
      </c>
      <c r="E33" s="30" t="s">
        <v>27</v>
      </c>
      <c r="F33" s="31" t="s">
        <v>14</v>
      </c>
    </row>
    <row r="34" spans="1:6" x14ac:dyDescent="0.25">
      <c r="A34" s="21" t="s">
        <v>37</v>
      </c>
      <c r="B34" s="20" t="s">
        <v>29</v>
      </c>
      <c r="C34" s="20">
        <v>250</v>
      </c>
      <c r="D34" s="20" t="s">
        <v>26</v>
      </c>
      <c r="E34" s="20" t="s">
        <v>27</v>
      </c>
      <c r="F34" s="20" t="s">
        <v>14</v>
      </c>
    </row>
    <row r="35" spans="1:6" x14ac:dyDescent="0.25">
      <c r="A35" s="35" t="s">
        <v>39</v>
      </c>
      <c r="B35" s="20" t="s">
        <v>29</v>
      </c>
      <c r="C35" s="20">
        <v>250</v>
      </c>
      <c r="D35" s="20" t="s">
        <v>26</v>
      </c>
      <c r="E35" s="20" t="s">
        <v>27</v>
      </c>
      <c r="F35" s="20" t="s">
        <v>14</v>
      </c>
    </row>
    <row r="36" spans="1:6" x14ac:dyDescent="0.25">
      <c r="A36" s="35" t="s">
        <v>47</v>
      </c>
      <c r="B36" s="20" t="s">
        <v>29</v>
      </c>
      <c r="C36" s="20">
        <v>250</v>
      </c>
      <c r="D36" s="20" t="s">
        <v>26</v>
      </c>
      <c r="E36" s="20" t="s">
        <v>27</v>
      </c>
      <c r="F36" s="20" t="s">
        <v>14</v>
      </c>
    </row>
    <row r="37" spans="1:6" x14ac:dyDescent="0.25">
      <c r="A37" s="21" t="s">
        <v>48</v>
      </c>
      <c r="B37" s="20" t="s">
        <v>29</v>
      </c>
      <c r="C37" s="20">
        <v>250</v>
      </c>
      <c r="D37" s="20" t="s">
        <v>26</v>
      </c>
      <c r="E37" s="20" t="s">
        <v>27</v>
      </c>
      <c r="F37" s="20" t="s">
        <v>14</v>
      </c>
    </row>
    <row r="38" spans="1:6" x14ac:dyDescent="0.25">
      <c r="A38" s="21" t="s">
        <v>51</v>
      </c>
      <c r="B38" s="20" t="s">
        <v>29</v>
      </c>
      <c r="C38" s="20">
        <v>250</v>
      </c>
      <c r="D38" s="20" t="s">
        <v>26</v>
      </c>
      <c r="E38" s="20" t="s">
        <v>27</v>
      </c>
      <c r="F38" s="20" t="s">
        <v>14</v>
      </c>
    </row>
    <row r="39" spans="1:6" x14ac:dyDescent="0.25">
      <c r="A39" s="26" t="s">
        <v>55</v>
      </c>
      <c r="B39" s="20" t="s">
        <v>29</v>
      </c>
      <c r="C39" s="20">
        <v>250</v>
      </c>
      <c r="D39" s="20" t="s">
        <v>26</v>
      </c>
      <c r="E39" s="20" t="s">
        <v>27</v>
      </c>
      <c r="F39" s="20" t="s">
        <v>14</v>
      </c>
    </row>
    <row r="40" spans="1:6" x14ac:dyDescent="0.25">
      <c r="A40" s="20" t="s">
        <v>57</v>
      </c>
      <c r="B40" s="20" t="s">
        <v>29</v>
      </c>
      <c r="C40" s="20">
        <v>250</v>
      </c>
      <c r="D40" s="20" t="s">
        <v>26</v>
      </c>
      <c r="E40" s="20" t="s">
        <v>27</v>
      </c>
      <c r="F40" s="20" t="s">
        <v>14</v>
      </c>
    </row>
    <row r="41" spans="1:6" x14ac:dyDescent="0.25">
      <c r="A41" s="16" t="s">
        <v>59</v>
      </c>
      <c r="B41" s="8" t="s">
        <v>29</v>
      </c>
      <c r="C41" s="8">
        <v>250</v>
      </c>
      <c r="D41" s="8" t="s">
        <v>26</v>
      </c>
      <c r="E41" s="8" t="s">
        <v>58</v>
      </c>
      <c r="F41" s="8" t="s">
        <v>14</v>
      </c>
    </row>
    <row r="42" spans="1:6" x14ac:dyDescent="0.25">
      <c r="A42" s="16" t="s">
        <v>61</v>
      </c>
      <c r="B42" s="8" t="s">
        <v>29</v>
      </c>
      <c r="C42" s="8">
        <v>250</v>
      </c>
      <c r="D42" s="8" t="s">
        <v>26</v>
      </c>
      <c r="E42" s="8" t="s">
        <v>58</v>
      </c>
      <c r="F42" s="8" t="s">
        <v>14</v>
      </c>
    </row>
    <row r="43" spans="1:6" x14ac:dyDescent="0.25">
      <c r="A43" s="25" t="s">
        <v>65</v>
      </c>
      <c r="B43" s="8" t="s">
        <v>29</v>
      </c>
      <c r="C43" s="8">
        <v>250</v>
      </c>
      <c r="D43" s="8" t="s">
        <v>26</v>
      </c>
      <c r="E43" s="8" t="s">
        <v>58</v>
      </c>
      <c r="F43" s="8" t="s">
        <v>14</v>
      </c>
    </row>
    <row r="44" spans="1:6" x14ac:dyDescent="0.25">
      <c r="A44" t="s">
        <v>71</v>
      </c>
      <c r="B44" t="s">
        <v>29</v>
      </c>
      <c r="C44">
        <v>250</v>
      </c>
      <c r="D44" t="s">
        <v>26</v>
      </c>
      <c r="E44" t="s">
        <v>58</v>
      </c>
      <c r="F44" t="s">
        <v>14</v>
      </c>
    </row>
    <row r="45" spans="1:6" x14ac:dyDescent="0.25">
      <c r="A45" t="s">
        <v>72</v>
      </c>
      <c r="B45" t="s">
        <v>29</v>
      </c>
      <c r="C45">
        <v>250</v>
      </c>
      <c r="D45" t="s">
        <v>26</v>
      </c>
      <c r="E45" t="s">
        <v>58</v>
      </c>
      <c r="F45" t="s">
        <v>14</v>
      </c>
    </row>
    <row r="46" spans="1:6" x14ac:dyDescent="0.25">
      <c r="A46" t="s">
        <v>73</v>
      </c>
      <c r="B46" t="s">
        <v>29</v>
      </c>
      <c r="C46">
        <v>250</v>
      </c>
      <c r="D46" t="s">
        <v>26</v>
      </c>
      <c r="E46" t="s">
        <v>58</v>
      </c>
      <c r="F46" t="s">
        <v>14</v>
      </c>
    </row>
    <row r="47" spans="1:6" x14ac:dyDescent="0.25">
      <c r="A47" t="s">
        <v>74</v>
      </c>
      <c r="B47" t="s">
        <v>29</v>
      </c>
      <c r="C47">
        <v>250</v>
      </c>
      <c r="D47" t="s">
        <v>26</v>
      </c>
      <c r="E47" t="s">
        <v>58</v>
      </c>
      <c r="F47" t="s">
        <v>14</v>
      </c>
    </row>
    <row r="48" spans="1:6" x14ac:dyDescent="0.25">
      <c r="A48" t="s">
        <v>75</v>
      </c>
      <c r="B48" t="s">
        <v>29</v>
      </c>
      <c r="C48">
        <v>0</v>
      </c>
      <c r="D48" t="s">
        <v>26</v>
      </c>
      <c r="E48" t="s">
        <v>58</v>
      </c>
      <c r="F48" t="s">
        <v>14</v>
      </c>
    </row>
    <row r="49" spans="1:6" x14ac:dyDescent="0.25">
      <c r="A49" t="s">
        <v>76</v>
      </c>
      <c r="B49" t="s">
        <v>29</v>
      </c>
      <c r="C49">
        <v>77</v>
      </c>
      <c r="D49" t="s">
        <v>26</v>
      </c>
      <c r="E49" t="s">
        <v>25</v>
      </c>
      <c r="F49" t="s">
        <v>14</v>
      </c>
    </row>
    <row r="50" spans="1:6" x14ac:dyDescent="0.25">
      <c r="A50" t="s">
        <v>77</v>
      </c>
      <c r="B50" t="s">
        <v>29</v>
      </c>
      <c r="C50">
        <v>77</v>
      </c>
      <c r="D50" t="s">
        <v>26</v>
      </c>
      <c r="E50" t="s">
        <v>25</v>
      </c>
      <c r="F50" t="s">
        <v>14</v>
      </c>
    </row>
    <row r="51" spans="1:6" x14ac:dyDescent="0.25">
      <c r="A51" t="s">
        <v>78</v>
      </c>
      <c r="B51" t="s">
        <v>29</v>
      </c>
      <c r="C51">
        <v>77</v>
      </c>
      <c r="D51" t="s">
        <v>26</v>
      </c>
      <c r="E51" t="s">
        <v>25</v>
      </c>
      <c r="F51" t="s">
        <v>14</v>
      </c>
    </row>
    <row r="52" spans="1:6" x14ac:dyDescent="0.25">
      <c r="A52" s="22" t="s">
        <v>79</v>
      </c>
      <c r="B52" t="s">
        <v>29</v>
      </c>
      <c r="C52">
        <v>77</v>
      </c>
      <c r="D52" t="s">
        <v>26</v>
      </c>
      <c r="E52" t="s">
        <v>25</v>
      </c>
      <c r="F52" t="s">
        <v>14</v>
      </c>
    </row>
    <row r="53" spans="1:6" x14ac:dyDescent="0.25">
      <c r="A53" s="22" t="s">
        <v>84</v>
      </c>
      <c r="B53" t="s">
        <v>29</v>
      </c>
      <c r="C53">
        <v>77</v>
      </c>
      <c r="D53" t="s">
        <v>26</v>
      </c>
      <c r="E53" t="s">
        <v>25</v>
      </c>
      <c r="F53" t="s">
        <v>14</v>
      </c>
    </row>
    <row r="54" spans="1:6" x14ac:dyDescent="0.25">
      <c r="A54" s="22" t="s">
        <v>31</v>
      </c>
      <c r="B54" s="2" t="s">
        <v>29</v>
      </c>
      <c r="C54" s="2">
        <v>77.5</v>
      </c>
      <c r="D54" s="2" t="s">
        <v>36</v>
      </c>
      <c r="E54" s="2" t="s">
        <v>25</v>
      </c>
      <c r="F54" s="2" t="s">
        <v>14</v>
      </c>
    </row>
    <row r="55" spans="1:6" x14ac:dyDescent="0.25">
      <c r="A55" s="16"/>
      <c r="B55" s="8" t="s">
        <v>29</v>
      </c>
      <c r="C55" s="8">
        <v>21</v>
      </c>
      <c r="D55" s="8" t="s">
        <v>52</v>
      </c>
      <c r="E55" s="8" t="s">
        <v>9</v>
      </c>
      <c r="F55" s="8" t="s">
        <v>14</v>
      </c>
    </row>
    <row r="56" spans="1:6" x14ac:dyDescent="0.25">
      <c r="B56" t="s">
        <v>29</v>
      </c>
      <c r="C56">
        <v>66</v>
      </c>
      <c r="D56" t="s">
        <v>52</v>
      </c>
      <c r="E56" t="s">
        <v>23</v>
      </c>
      <c r="F56" t="s">
        <v>14</v>
      </c>
    </row>
    <row r="57" spans="1:6" x14ac:dyDescent="0.25">
      <c r="B57" t="s">
        <v>29</v>
      </c>
      <c r="C57">
        <v>27</v>
      </c>
      <c r="D57" t="s">
        <v>52</v>
      </c>
      <c r="E57" t="s">
        <v>9</v>
      </c>
      <c r="F57" t="s">
        <v>14</v>
      </c>
    </row>
    <row r="58" spans="1:6" x14ac:dyDescent="0.25">
      <c r="A58" s="2" t="s">
        <v>87</v>
      </c>
      <c r="B58" s="2" t="s">
        <v>29</v>
      </c>
      <c r="C58" s="2">
        <v>77</v>
      </c>
      <c r="D58" s="2" t="s">
        <v>26</v>
      </c>
      <c r="E58" s="2" t="s">
        <v>25</v>
      </c>
      <c r="F58" s="2" t="s">
        <v>14</v>
      </c>
    </row>
    <row r="59" spans="1:6" x14ac:dyDescent="0.25">
      <c r="A59" s="2"/>
      <c r="B59" s="2" t="s">
        <v>64</v>
      </c>
      <c r="C59" s="2">
        <v>15</v>
      </c>
      <c r="D59" s="2" t="s">
        <v>54</v>
      </c>
      <c r="E59" s="2" t="s">
        <v>53</v>
      </c>
      <c r="F59" s="2" t="s">
        <v>14</v>
      </c>
    </row>
    <row r="60" spans="1:6" x14ac:dyDescent="0.25">
      <c r="A60" s="2"/>
      <c r="B60" s="2" t="s">
        <v>64</v>
      </c>
      <c r="C60" s="2">
        <v>6</v>
      </c>
      <c r="D60" s="2" t="s">
        <v>70</v>
      </c>
      <c r="E60" s="2" t="s">
        <v>9</v>
      </c>
      <c r="F60" s="2" t="s">
        <v>14</v>
      </c>
    </row>
    <row r="61" spans="1:6" x14ac:dyDescent="0.25">
      <c r="A61" s="2"/>
      <c r="B61" s="2"/>
      <c r="C61" s="2"/>
      <c r="D61" s="2"/>
      <c r="E61" s="2"/>
      <c r="F61" s="2"/>
    </row>
    <row r="62" spans="1:6" x14ac:dyDescent="0.25">
      <c r="A62" s="22"/>
      <c r="B62" s="2"/>
      <c r="C62" s="2"/>
      <c r="D62" s="2"/>
      <c r="E62" s="2"/>
      <c r="F62" s="2"/>
    </row>
    <row r="63" spans="1:6" x14ac:dyDescent="0.25">
      <c r="A63" s="22"/>
    </row>
  </sheetData>
  <mergeCells count="3">
    <mergeCell ref="L5:M5"/>
    <mergeCell ref="T2:V2"/>
    <mergeCell ref="T1:X1"/>
  </mergeCells>
  <pageMargins left="0.7" right="0.7" top="0.75" bottom="0.75" header="0.3" footer="0.3"/>
  <pageSetup paperSize="9" orientation="portrait" verticalDpi="3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E9" sqref="E9"/>
    </sheetView>
  </sheetViews>
  <sheetFormatPr baseColWidth="10" defaultRowHeight="15" x14ac:dyDescent="0.25"/>
  <cols>
    <col min="2" max="2" width="17.140625" customWidth="1"/>
    <col min="3" max="3" width="17.85546875" customWidth="1"/>
  </cols>
  <sheetData>
    <row r="1" spans="1:3" x14ac:dyDescent="0.25">
      <c r="A1" t="s">
        <v>18</v>
      </c>
    </row>
    <row r="2" spans="1:3" x14ac:dyDescent="0.25">
      <c r="A2" t="s">
        <v>5</v>
      </c>
      <c r="B2" t="s">
        <v>0</v>
      </c>
    </row>
    <row r="3" spans="1:3" x14ac:dyDescent="0.25">
      <c r="A3" t="s">
        <v>19</v>
      </c>
      <c r="B3">
        <v>2</v>
      </c>
    </row>
    <row r="4" spans="1:3" x14ac:dyDescent="0.25">
      <c r="C4" s="12"/>
    </row>
    <row r="5" spans="1:3" x14ac:dyDescent="0.25">
      <c r="A5" s="10"/>
      <c r="B5" s="1"/>
      <c r="C5" s="17"/>
    </row>
    <row r="6" spans="1:3" x14ac:dyDescent="0.25">
      <c r="A6" s="10"/>
      <c r="B6" s="1"/>
      <c r="C6" s="17"/>
    </row>
    <row r="7" spans="1:3" x14ac:dyDescent="0.25">
      <c r="B7" s="1"/>
      <c r="C7" s="17"/>
    </row>
    <row r="8" spans="1:3" x14ac:dyDescent="0.25">
      <c r="C8" s="9"/>
    </row>
    <row r="9" spans="1:3" x14ac:dyDescent="0.25">
      <c r="C9" s="9"/>
    </row>
    <row r="10" spans="1:3" x14ac:dyDescent="0.25">
      <c r="C1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</cp:lastModifiedBy>
  <dcterms:created xsi:type="dcterms:W3CDTF">2019-03-09T22:53:43Z</dcterms:created>
  <dcterms:modified xsi:type="dcterms:W3CDTF">2020-06-04T02:39:12Z</dcterms:modified>
</cp:coreProperties>
</file>